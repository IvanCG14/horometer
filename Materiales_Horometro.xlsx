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lanta\Documents\Horometro\"/>
    </mc:Choice>
  </mc:AlternateContent>
  <xr:revisionPtr revIDLastSave="0" documentId="13_ncr:1_{885EF32F-F8EB-4FC6-B4BE-F686302A0C95}" xr6:coauthVersionLast="47" xr6:coauthVersionMax="47" xr10:uidLastSave="{00000000-0000-0000-0000-000000000000}"/>
  <bookViews>
    <workbookView xWindow="-120" yWindow="-120" windowWidth="15600" windowHeight="1116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1" l="1"/>
  <c r="E10" i="1" s="1"/>
  <c r="E3" i="1"/>
  <c r="E4" i="1"/>
  <c r="E5" i="1"/>
  <c r="E6" i="1"/>
  <c r="E7" i="1"/>
  <c r="E8" i="1"/>
  <c r="E2" i="1"/>
</calcChain>
</file>

<file path=xl/sharedStrings.xml><?xml version="1.0" encoding="utf-8"?>
<sst xmlns="http://schemas.openxmlformats.org/spreadsheetml/2006/main" count="60" uniqueCount="58">
  <si>
    <t>Componente</t>
  </si>
  <si>
    <t>Descripción</t>
  </si>
  <si>
    <t>Cantidad</t>
  </si>
  <si>
    <t>Costo Unitario</t>
  </si>
  <si>
    <t>Costo Final</t>
  </si>
  <si>
    <t>Proveedor</t>
  </si>
  <si>
    <t>Dirección</t>
  </si>
  <si>
    <t>Raspberry Pi Zero</t>
  </si>
  <si>
    <t>Micro SD</t>
  </si>
  <si>
    <t>Pin Físico (Header)</t>
  </si>
  <si>
    <t>Pin BCM (Código)</t>
  </si>
  <si>
    <t>Función</t>
  </si>
  <si>
    <t>LCD VCC</t>
  </si>
  <si>
    <t>5V</t>
  </si>
  <si>
    <t>Alimentación Pantalla</t>
  </si>
  <si>
    <t>LCD GND</t>
  </si>
  <si>
    <t>GND</t>
  </si>
  <si>
    <t>Tierra Común</t>
  </si>
  <si>
    <t>LCD SDA</t>
  </si>
  <si>
    <t>GPIO 2 (SDA)</t>
  </si>
  <si>
    <t>Datos I2C</t>
  </si>
  <si>
    <t>LCD SCL</t>
  </si>
  <si>
    <t>GPIO 3 (SCL)</t>
  </si>
  <si>
    <t>Reloj I2C</t>
  </si>
  <si>
    <t>Botón UP</t>
  </si>
  <si>
    <t>GPIO 27</t>
  </si>
  <si>
    <t>Navegar Menú</t>
  </si>
  <si>
    <t>Botón DOWN</t>
  </si>
  <si>
    <t>GPIO 22</t>
  </si>
  <si>
    <t>Botón OK</t>
  </si>
  <si>
    <t>GPIO 23</t>
  </si>
  <si>
    <t>Confirmar Selección</t>
  </si>
  <si>
    <t>Señal VFD</t>
  </si>
  <si>
    <t>GPIO 17</t>
  </si>
  <si>
    <t>Entrada Sensor Motor (Aislada)</t>
  </si>
  <si>
    <t>Origen (Variador iS7)</t>
  </si>
  <si>
    <t>Destino (Optoacoplador PC817)</t>
  </si>
  <si>
    <t>Componente Adicional / Notas</t>
  </si>
  <si>
    <r>
      <t>Terminal 24</t>
    </r>
    <r>
      <rPr>
        <sz val="11"/>
        <color rgb="FF1F1F1F"/>
        <rFont val="Arial"/>
        <family val="2"/>
      </rPr>
      <t xml:space="preserve"> (Fuente 24V)</t>
    </r>
  </si>
  <si>
    <r>
      <t>Pin 1</t>
    </r>
    <r>
      <rPr>
        <sz val="11"/>
        <color rgb="FF1F1F1F"/>
        <rFont val="Arial"/>
        <family val="2"/>
      </rPr>
      <t xml:space="preserve"> (Ánodo)</t>
    </r>
  </si>
  <si>
    <t>Conexión directa.</t>
  </si>
  <si>
    <r>
      <t>Terminal Q1</t>
    </r>
    <r>
      <rPr>
        <sz val="11"/>
        <color rgb="FF1F1F1F"/>
        <rFont val="Arial"/>
        <family val="2"/>
      </rPr>
      <t xml:space="preserve"> (Salida Digital)</t>
    </r>
  </si>
  <si>
    <r>
      <t>Pin 2</t>
    </r>
    <r>
      <rPr>
        <sz val="11"/>
        <color rgb="FF1F1F1F"/>
        <rFont val="Arial"/>
        <family val="2"/>
      </rPr>
      <t xml:space="preserve"> (Cátodo)</t>
    </r>
  </si>
  <si>
    <r>
      <t>Insertar Resistencia de 2.2kΩ</t>
    </r>
    <r>
      <rPr>
        <sz val="11"/>
        <color rgb="FF1F1F1F"/>
        <rFont val="Arial"/>
        <family val="2"/>
      </rPr>
      <t xml:space="preserve"> en serie entre Q1 y el Pin 2.</t>
    </r>
  </si>
  <si>
    <t>GND (Raspberry Pi)</t>
  </si>
  <si>
    <r>
      <t>Pin 3</t>
    </r>
    <r>
      <rPr>
        <sz val="11"/>
        <color rgb="FF1F1F1F"/>
        <rFont val="Arial"/>
        <family val="2"/>
      </rPr>
      <t xml:space="preserve"> (Emisor)</t>
    </r>
  </si>
  <si>
    <t>Tierra común de la lógica de la Raspberry.</t>
  </si>
  <si>
    <t>GPIO 17 (Raspberry Pi)</t>
  </si>
  <si>
    <r>
      <t>Pin 4</t>
    </r>
    <r>
      <rPr>
        <sz val="11"/>
        <color rgb="FF1F1F1F"/>
        <rFont val="Arial"/>
        <family val="2"/>
      </rPr>
      <t xml:space="preserve"> (Colector)</t>
    </r>
  </si>
  <si>
    <r>
      <t xml:space="preserve">Configurar este pin como </t>
    </r>
    <r>
      <rPr>
        <sz val="10"/>
        <color rgb="FF444746"/>
        <rFont val="Google Sans Text"/>
        <family val="2"/>
      </rPr>
      <t>INPUT_PULLUP</t>
    </r>
    <r>
      <rPr>
        <sz val="11"/>
        <color rgb="FF1F1F1F"/>
        <rFont val="Arial"/>
        <family val="2"/>
      </rPr>
      <t xml:space="preserve"> en el código.</t>
    </r>
  </si>
  <si>
    <t>Pantalla LCD 20x4</t>
  </si>
  <si>
    <t>Total</t>
  </si>
  <si>
    <t>Resistencias 2.2kOhm</t>
  </si>
  <si>
    <t>SRD-05VDC-SL-C</t>
  </si>
  <si>
    <t>Módulo SSR</t>
  </si>
  <si>
    <t>Modulo Optoacoplador PC817</t>
  </si>
  <si>
    <t>Pulsador NEMA 22mm</t>
  </si>
  <si>
    <t>Rojo, Verde y 2 Negros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</si>
</sst>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\ * #,##0.00_);_(&quot;$&quot;\ * \(#,##0.00\);_(&quot;$&quot;\ * &quot;-&quot;??_);_(@_)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0" fontId="4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vertical="center" wrapText="1" readingOrder="1"/>
    </xf>
    <xf numFmtId="0" fontId="2" fillId="0" borderId="0" xfId="0" applyFont="1"/>
    <xf numFmtId="44" fontId="0" fillId="0" borderId="0" xfId="1" applyFont="1"/>
    <xf numFmtId="44" fontId="0" fillId="0" borderId="0" xfId="1" applyNumberFormat="1" applyFon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"/>
  <sheetViews>
    <sheetView tabSelected="1" workbookViewId="0">
      <selection activeCell="B9" sqref="B9"/>
    </sheetView>
  </sheetViews>
  <sheetFormatPr baseColWidth="10" defaultColWidth="9.140625" defaultRowHeight="15"/>
  <cols>
    <col min="1" max="1" width="28.5703125" customWidth="1"/>
    <col min="2" max="2" width="23.7109375" customWidth="1"/>
    <col min="4" max="4" width="14.5703125" customWidth="1"/>
    <col min="5" max="5" width="12.28515625" customWidth="1"/>
    <col min="6" max="6" width="10.8554687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t="s">
        <v>7</v>
      </c>
      <c r="C2">
        <v>1</v>
      </c>
      <c r="D2" s="7">
        <v>40</v>
      </c>
      <c r="E2" s="6">
        <f>D2*C2</f>
        <v>40</v>
      </c>
    </row>
    <row r="3" spans="1:7">
      <c r="A3" t="s">
        <v>8</v>
      </c>
      <c r="C3">
        <v>1</v>
      </c>
      <c r="D3" s="7">
        <v>15</v>
      </c>
      <c r="E3" s="6">
        <f t="shared" ref="E3:E9" si="0">D3*C3</f>
        <v>15</v>
      </c>
    </row>
    <row r="4" spans="1:7">
      <c r="A4" t="s">
        <v>50</v>
      </c>
      <c r="C4">
        <v>1</v>
      </c>
      <c r="D4" s="7">
        <v>12.8</v>
      </c>
      <c r="E4" s="6">
        <f t="shared" si="0"/>
        <v>12.8</v>
      </c>
    </row>
    <row r="5" spans="1:7">
      <c r="A5" t="s">
        <v>56</v>
      </c>
      <c r="B5" t="s">
        <v>57</v>
      </c>
      <c r="C5">
        <v>4</v>
      </c>
      <c r="D5" s="7">
        <v>0.27</v>
      </c>
      <c r="E5" s="6">
        <f t="shared" si="0"/>
        <v>1.08</v>
      </c>
    </row>
    <row r="6" spans="1:7">
      <c r="A6" t="s">
        <v>55</v>
      </c>
      <c r="C6">
        <v>1</v>
      </c>
      <c r="D6" s="7">
        <v>5</v>
      </c>
      <c r="E6" s="6">
        <f t="shared" si="0"/>
        <v>5</v>
      </c>
    </row>
    <row r="7" spans="1:7">
      <c r="A7" t="s">
        <v>54</v>
      </c>
      <c r="C7">
        <v>1</v>
      </c>
      <c r="D7" s="7">
        <v>5</v>
      </c>
      <c r="E7" s="6">
        <f t="shared" si="0"/>
        <v>5</v>
      </c>
    </row>
    <row r="8" spans="1:7">
      <c r="A8" t="s">
        <v>53</v>
      </c>
      <c r="C8">
        <v>1</v>
      </c>
      <c r="D8" s="7">
        <v>0</v>
      </c>
      <c r="E8" s="6">
        <f>D8*C8</f>
        <v>0</v>
      </c>
    </row>
    <row r="9" spans="1:7">
      <c r="A9" t="s">
        <v>52</v>
      </c>
      <c r="C9">
        <v>10</v>
      </c>
      <c r="D9" s="7">
        <v>0.04</v>
      </c>
      <c r="E9" s="6">
        <f>D9*C9</f>
        <v>0.4</v>
      </c>
    </row>
    <row r="10" spans="1:7">
      <c r="D10" s="5" t="s">
        <v>51</v>
      </c>
      <c r="E10" s="6">
        <f>SUM(E2:E9)</f>
        <v>79.28</v>
      </c>
    </row>
  </sheetData>
  <autoFilter ref="A1:G1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FB0F7-37CB-43D1-80C5-A4BA51C53663}">
  <dimension ref="A1:H9"/>
  <sheetViews>
    <sheetView topLeftCell="A2" workbookViewId="0">
      <selection activeCell="G3" sqref="G3"/>
    </sheetView>
  </sheetViews>
  <sheetFormatPr baseColWidth="10" defaultRowHeight="15"/>
  <sheetData>
    <row r="1" spans="1:8" ht="60.75" thickBot="1">
      <c r="A1" s="1" t="s">
        <v>0</v>
      </c>
      <c r="B1" s="1" t="s">
        <v>9</v>
      </c>
      <c r="C1" s="1" t="s">
        <v>10</v>
      </c>
      <c r="D1" s="2" t="s">
        <v>11</v>
      </c>
      <c r="F1" s="1" t="s">
        <v>35</v>
      </c>
      <c r="G1" s="1" t="s">
        <v>36</v>
      </c>
      <c r="H1" s="2" t="s">
        <v>37</v>
      </c>
    </row>
    <row r="2" spans="1:8" ht="59.25" thickBot="1">
      <c r="A2" s="1" t="s">
        <v>12</v>
      </c>
      <c r="B2" s="3">
        <v>2</v>
      </c>
      <c r="C2" s="3" t="s">
        <v>13</v>
      </c>
      <c r="D2" s="4" t="s">
        <v>14</v>
      </c>
      <c r="F2" s="1" t="s">
        <v>38</v>
      </c>
      <c r="G2" s="1" t="s">
        <v>39</v>
      </c>
      <c r="H2" s="4" t="s">
        <v>40</v>
      </c>
    </row>
    <row r="3" spans="1:8" ht="103.5" thickBot="1">
      <c r="A3" s="1" t="s">
        <v>15</v>
      </c>
      <c r="B3" s="3">
        <v>6</v>
      </c>
      <c r="C3" s="3" t="s">
        <v>16</v>
      </c>
      <c r="D3" s="4" t="s">
        <v>17</v>
      </c>
      <c r="F3" s="1" t="s">
        <v>41</v>
      </c>
      <c r="G3" s="1" t="s">
        <v>42</v>
      </c>
      <c r="H3" s="2" t="s">
        <v>43</v>
      </c>
    </row>
    <row r="4" spans="1:8" ht="72" thickBot="1">
      <c r="A4" s="1" t="s">
        <v>18</v>
      </c>
      <c r="B4" s="3">
        <v>3</v>
      </c>
      <c r="C4" s="3" t="s">
        <v>19</v>
      </c>
      <c r="D4" s="4" t="s">
        <v>20</v>
      </c>
      <c r="F4" s="1" t="s">
        <v>44</v>
      </c>
      <c r="G4" s="1" t="s">
        <v>45</v>
      </c>
      <c r="H4" s="4" t="s">
        <v>46</v>
      </c>
    </row>
    <row r="5" spans="1:8" ht="84.75" thickBot="1">
      <c r="A5" s="1" t="s">
        <v>21</v>
      </c>
      <c r="B5" s="3">
        <v>5</v>
      </c>
      <c r="C5" s="3" t="s">
        <v>22</v>
      </c>
      <c r="D5" s="4" t="s">
        <v>23</v>
      </c>
      <c r="F5" s="1" t="s">
        <v>47</v>
      </c>
      <c r="G5" s="1" t="s">
        <v>48</v>
      </c>
      <c r="H5" s="4" t="s">
        <v>49</v>
      </c>
    </row>
    <row r="6" spans="1:8" ht="30.75" thickBot="1">
      <c r="A6" s="1" t="s">
        <v>24</v>
      </c>
      <c r="B6" s="3">
        <v>13</v>
      </c>
      <c r="C6" s="3" t="s">
        <v>25</v>
      </c>
      <c r="D6" s="4" t="s">
        <v>26</v>
      </c>
    </row>
    <row r="7" spans="1:8" ht="30.75" thickBot="1">
      <c r="A7" s="1" t="s">
        <v>27</v>
      </c>
      <c r="B7" s="3">
        <v>15</v>
      </c>
      <c r="C7" s="3" t="s">
        <v>28</v>
      </c>
      <c r="D7" s="4" t="s">
        <v>26</v>
      </c>
    </row>
    <row r="8" spans="1:8" ht="30.75" thickBot="1">
      <c r="A8" s="1" t="s">
        <v>29</v>
      </c>
      <c r="B8" s="3">
        <v>16</v>
      </c>
      <c r="C8" s="3" t="s">
        <v>30</v>
      </c>
      <c r="D8" s="4" t="s">
        <v>31</v>
      </c>
    </row>
    <row r="9" spans="1:8" ht="57.75" thickBot="1">
      <c r="A9" s="1" t="s">
        <v>32</v>
      </c>
      <c r="B9" s="3">
        <v>11</v>
      </c>
      <c r="C9" s="3" t="s">
        <v>33</v>
      </c>
      <c r="D9" s="4" t="s">
        <v>34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Planta Operador</dc:creator>
  <cp:lastModifiedBy>Tamara García</cp:lastModifiedBy>
  <dcterms:created xsi:type="dcterms:W3CDTF">2015-06-05T18:19:34Z</dcterms:created>
  <dcterms:modified xsi:type="dcterms:W3CDTF">2026-04-13T19:56:13Z</dcterms:modified>
</cp:coreProperties>
</file>