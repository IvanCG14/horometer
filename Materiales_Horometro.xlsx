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planta\Documents\Horometro\"/>
    </mc:Choice>
  </mc:AlternateContent>
  <xr:revisionPtr revIDLastSave="0" documentId="13_ncr:1_{4496BADD-8669-4A1D-BC94-5A241CA5F889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Hoja1" sheetId="1" r:id="rId1"/>
    <sheet name="Hoja2" sheetId="2" r:id="rId2"/>
  </sheets>
  <definedNames>
    <definedName name="_xlnm._FilterDatabase" localSheetId="0" hidden="1">Hoja1!$A$1:$G$1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6" i="1"/>
  <c r="E4" i="1"/>
  <c r="E3" i="1"/>
  <c r="E9" i="1"/>
  <c r="E8" i="1"/>
  <c r="E7" i="1"/>
  <c r="E2" i="1"/>
  <c r="E12" i="1" l="1"/>
</calcChain>
</file>

<file path=xl/sharedStrings.xml><?xml version="1.0" encoding="utf-8"?>
<sst xmlns="http://schemas.openxmlformats.org/spreadsheetml/2006/main" count="85" uniqueCount="83">
  <si>
    <t>Componente</t>
  </si>
  <si>
    <t>Descripción</t>
  </si>
  <si>
    <t>Cantidad</t>
  </si>
  <si>
    <t>Costo Unitario</t>
  </si>
  <si>
    <t>Costo Final</t>
  </si>
  <si>
    <t>Proveedor</t>
  </si>
  <si>
    <t>Dirección</t>
  </si>
  <si>
    <t>Micro SD</t>
  </si>
  <si>
    <t>Pin Físico (Header)</t>
  </si>
  <si>
    <t>Pin BCM (Código)</t>
  </si>
  <si>
    <t>Función</t>
  </si>
  <si>
    <t>LCD VCC</t>
  </si>
  <si>
    <t>5V</t>
  </si>
  <si>
    <t>Alimentación Pantalla</t>
  </si>
  <si>
    <t>LCD GND</t>
  </si>
  <si>
    <t>GND</t>
  </si>
  <si>
    <t>Tierra Común</t>
  </si>
  <si>
    <t>LCD SDA</t>
  </si>
  <si>
    <t>GPIO 2 (SDA)</t>
  </si>
  <si>
    <t>Datos I2C</t>
  </si>
  <si>
    <t>LCD SCL</t>
  </si>
  <si>
    <t>GPIO 3 (SCL)</t>
  </si>
  <si>
    <t>Reloj I2C</t>
  </si>
  <si>
    <t>Botón UP</t>
  </si>
  <si>
    <t>GPIO 27</t>
  </si>
  <si>
    <t>Navegar Menú</t>
  </si>
  <si>
    <t>Botón DOWN</t>
  </si>
  <si>
    <t>GPIO 22</t>
  </si>
  <si>
    <t>Botón OK</t>
  </si>
  <si>
    <t>GPIO 23</t>
  </si>
  <si>
    <t>Confirmar Selección</t>
  </si>
  <si>
    <t>Señal VFD</t>
  </si>
  <si>
    <t>GPIO 17</t>
  </si>
  <si>
    <t>Entrada Sensor Motor (Aislada)</t>
  </si>
  <si>
    <t>Origen (Variador iS7)</t>
  </si>
  <si>
    <t>Destino (Optoacoplador PC817)</t>
  </si>
  <si>
    <t>Componente Adicional / Notas</t>
  </si>
  <si>
    <r>
      <t>Terminal 24</t>
    </r>
    <r>
      <rPr>
        <sz val="11"/>
        <color rgb="FF1F1F1F"/>
        <rFont val="Arial"/>
        <family val="2"/>
      </rPr>
      <t xml:space="preserve"> (Fuente 24V)</t>
    </r>
  </si>
  <si>
    <r>
      <t>Pin 1</t>
    </r>
    <r>
      <rPr>
        <sz val="11"/>
        <color rgb="FF1F1F1F"/>
        <rFont val="Arial"/>
        <family val="2"/>
      </rPr>
      <t xml:space="preserve"> (Ánodo)</t>
    </r>
  </si>
  <si>
    <t>Conexión directa.</t>
  </si>
  <si>
    <r>
      <t>Terminal Q1</t>
    </r>
    <r>
      <rPr>
        <sz val="11"/>
        <color rgb="FF1F1F1F"/>
        <rFont val="Arial"/>
        <family val="2"/>
      </rPr>
      <t xml:space="preserve"> (Salida Digital)</t>
    </r>
  </si>
  <si>
    <r>
      <t>Pin 2</t>
    </r>
    <r>
      <rPr>
        <sz val="11"/>
        <color rgb="FF1F1F1F"/>
        <rFont val="Arial"/>
        <family val="2"/>
      </rPr>
      <t xml:space="preserve"> (Cátodo)</t>
    </r>
  </si>
  <si>
    <r>
      <t>Insertar Resistencia de 2.2kΩ</t>
    </r>
    <r>
      <rPr>
        <sz val="11"/>
        <color rgb="FF1F1F1F"/>
        <rFont val="Arial"/>
        <family val="2"/>
      </rPr>
      <t xml:space="preserve"> en serie entre Q1 y el Pin 2.</t>
    </r>
  </si>
  <si>
    <t>GND (Raspberry Pi)</t>
  </si>
  <si>
    <r>
      <t>Pin 3</t>
    </r>
    <r>
      <rPr>
        <sz val="11"/>
        <color rgb="FF1F1F1F"/>
        <rFont val="Arial"/>
        <family val="2"/>
      </rPr>
      <t xml:space="preserve"> (Emisor)</t>
    </r>
  </si>
  <si>
    <t>Tierra común de la lógica de la Raspberry.</t>
  </si>
  <si>
    <t>GPIO 17 (Raspberry Pi)</t>
  </si>
  <si>
    <r>
      <t>Pin 4</t>
    </r>
    <r>
      <rPr>
        <sz val="11"/>
        <color rgb="FF1F1F1F"/>
        <rFont val="Arial"/>
        <family val="2"/>
      </rPr>
      <t xml:space="preserve"> (Colector)</t>
    </r>
  </si>
  <si>
    <r>
      <t xml:space="preserve">Configurar este pin como </t>
    </r>
    <r>
      <rPr>
        <sz val="10"/>
        <color rgb="FF444746"/>
        <rFont val="Google Sans Text"/>
        <family val="2"/>
      </rPr>
      <t>INPUT_PULLUP</t>
    </r>
    <r>
      <rPr>
        <sz val="11"/>
        <color rgb="FF1F1F1F"/>
        <rFont val="Arial"/>
        <family val="2"/>
      </rPr>
      <t xml:space="preserve"> en el código.</t>
    </r>
  </si>
  <si>
    <t>Pantalla LCD 20x4</t>
  </si>
  <si>
    <t>Total</t>
  </si>
  <si>
    <t>Resistencias 2.2kOhm</t>
  </si>
  <si>
    <t>Modulo Optoacoplador PC817</t>
  </si>
  <si>
    <t>Pulsador NEMA 22mm</t>
  </si>
  <si>
    <t>Rojo, Verde y 2 Negros</t>
  </si>
  <si>
    <t>Raspberry Pi Zero 2W</t>
  </si>
  <si>
    <t>Entrada 24V, salida 3.3 V</t>
  </si>
  <si>
    <t>32 GB</t>
  </si>
  <si>
    <t>1/2 W</t>
  </si>
  <si>
    <t>Cable Multifilar</t>
  </si>
  <si>
    <t>Cable Apantallado</t>
  </si>
  <si>
    <t>Cable 5V</t>
  </si>
  <si>
    <t>24 AWG (com interna, GPIO)</t>
  </si>
  <si>
    <t>22 AWG 4/5 hilos (botones)</t>
  </si>
  <si>
    <t>18 AWG (alimentación)</t>
  </si>
  <si>
    <t>State Relay SSR-25DD</t>
  </si>
  <si>
    <t>Input 3-32VDC To Output 5-240VDC 25A Single Phase Plastic Cover</t>
  </si>
  <si>
    <t>Convertidor DC-DC</t>
  </si>
  <si>
    <t>12V 24V a 5V 3A 15W Micro USB C Buck Convertidor</t>
  </si>
  <si>
    <t>Amazon</t>
  </si>
  <si>
    <t>&lt;121872A&gt;4 PARES, 23 AWG, 300V</t>
  </si>
  <si>
    <t>CABLE DE COMUNICACION
ETHERNET CAT6 UTP</t>
  </si>
  <si>
    <t>CABLE RS-485 COBRE
ESTAÑADO</t>
  </si>
  <si>
    <t>&lt;3105A&gt; 2X22 AWG PAR
TRENZADO BLINDADO</t>
  </si>
  <si>
    <t>Cablecom</t>
  </si>
  <si>
    <t>Tapia Electronics</t>
  </si>
  <si>
    <t>Electrónica Orellana</t>
  </si>
  <si>
    <t>Boyacá y Francisco Illingworth Icaza 1011 y, 090306 Guayaquil</t>
  </si>
  <si>
    <t>P.icaza y Boyacá 706 y, 090312 Guayaquil</t>
  </si>
  <si>
    <t>https://a.co/d/02bu7pRZ</t>
  </si>
  <si>
    <t>https://a.co/d/0i9TpS0D</t>
  </si>
  <si>
    <t>Siemens</t>
  </si>
  <si>
    <t>Con I2C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</si>
</sst>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\ * #,##0.00_);_(&quot;$&quot;\ * \(#,##0.00\);_(&quot;$&quot;\ * &quot;-&quot;??_);_(@_)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4">
    <xf numFmtId="0" fontId="0" fillId="0" borderId="0" xfId="0"/>
    <xf numFmtId="0" fontId="4" fillId="0" borderId="1" xfId="0" applyFont="1" applyBorder="1" applyAlignment="1">
      <alignment horizontal="left" vertical="center" wrapText="1" indent="1" readingOrder="1"/>
    </xf>
    <xf numFmtId="0" fontId="4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vertical="center" wrapText="1" readingOrder="1"/>
    </xf>
    <xf numFmtId="0" fontId="2" fillId="0" borderId="0" xfId="0" applyFont="1"/>
    <xf numFmtId="44" fontId="0" fillId="0" borderId="0" xfId="1" applyFont="1"/>
    <xf numFmtId="0" fontId="0" fillId="2" borderId="0" xfId="0" applyFill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6" fillId="0" borderId="0" xfId="2"/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a.co/d/0i9TpS0D" TargetMode="External"/><Relationship Id="rId1" Type="http://schemas.openxmlformats.org/officeDocument/2006/relationships/hyperlink" Target="https://a.co/d/02bu7pRZ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D11" sqref="D11"/>
    </sheetView>
  </sheetViews>
  <sheetFormatPr baseColWidth="10" defaultColWidth="9.140625" defaultRowHeight="15"/>
  <cols>
    <col min="1" max="1" width="28.5703125" customWidth="1"/>
    <col min="2" max="2" width="26.42578125" customWidth="1"/>
    <col min="4" max="4" width="14.5703125" customWidth="1"/>
    <col min="5" max="5" width="12.28515625" customWidth="1"/>
    <col min="6" max="6" width="19" customWidth="1"/>
    <col min="7" max="7" width="24.140625" customWidth="1"/>
  </cols>
  <sheetData>
    <row r="1" spans="1: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ht="15" customHeight="1">
      <c r="A2" t="s">
        <v>55</v>
      </c>
      <c r="C2">
        <v>1</v>
      </c>
      <c r="D2" s="6">
        <v>49.5</v>
      </c>
      <c r="E2" s="6">
        <f>D2*C2</f>
        <v>49.5</v>
      </c>
      <c r="F2" s="10" t="s">
        <v>75</v>
      </c>
      <c r="G2" s="11" t="s">
        <v>77</v>
      </c>
    </row>
    <row r="3" spans="1:7">
      <c r="A3" t="s">
        <v>7</v>
      </c>
      <c r="B3" t="s">
        <v>57</v>
      </c>
      <c r="C3">
        <v>1</v>
      </c>
      <c r="D3" s="6">
        <v>12.5</v>
      </c>
      <c r="E3" s="6">
        <f t="shared" ref="E3" si="0">D3*C3</f>
        <v>12.5</v>
      </c>
      <c r="F3" s="10"/>
      <c r="G3" s="11"/>
    </row>
    <row r="4" spans="1:7">
      <c r="A4" t="s">
        <v>49</v>
      </c>
      <c r="B4" t="s">
        <v>82</v>
      </c>
      <c r="C4">
        <v>1</v>
      </c>
      <c r="D4" s="6">
        <v>6.96</v>
      </c>
      <c r="E4" s="6">
        <f>D4*C4*1.12</f>
        <v>7.7952000000000004</v>
      </c>
      <c r="F4" s="10" t="s">
        <v>76</v>
      </c>
      <c r="G4" s="12" t="s">
        <v>78</v>
      </c>
    </row>
    <row r="5" spans="1:7">
      <c r="A5" t="s">
        <v>51</v>
      </c>
      <c r="B5" t="s">
        <v>58</v>
      </c>
      <c r="C5">
        <v>10</v>
      </c>
      <c r="D5" s="6">
        <v>0.04</v>
      </c>
      <c r="E5" s="6">
        <f t="shared" ref="E5:E6" si="1">D5*C5*1.12</f>
        <v>0.44800000000000006</v>
      </c>
      <c r="F5" s="10"/>
      <c r="G5" s="12"/>
    </row>
    <row r="6" spans="1:7">
      <c r="A6" t="s">
        <v>52</v>
      </c>
      <c r="B6" t="s">
        <v>56</v>
      </c>
      <c r="C6">
        <v>1</v>
      </c>
      <c r="D6" s="6">
        <v>0.85</v>
      </c>
      <c r="E6" s="6">
        <f t="shared" si="1"/>
        <v>0.95200000000000007</v>
      </c>
      <c r="F6" s="10"/>
      <c r="G6" s="12"/>
    </row>
    <row r="7" spans="1:7">
      <c r="A7" t="s">
        <v>65</v>
      </c>
      <c r="B7" t="s">
        <v>66</v>
      </c>
      <c r="C7">
        <v>1</v>
      </c>
      <c r="D7" s="6">
        <v>43.02</v>
      </c>
      <c r="E7" s="6">
        <f>D7*C7</f>
        <v>43.02</v>
      </c>
      <c r="F7" s="10" t="s">
        <v>69</v>
      </c>
      <c r="G7" s="13" t="s">
        <v>80</v>
      </c>
    </row>
    <row r="8" spans="1:7">
      <c r="A8" t="s">
        <v>67</v>
      </c>
      <c r="B8" t="s">
        <v>68</v>
      </c>
      <c r="C8">
        <v>1</v>
      </c>
      <c r="D8" s="6">
        <v>43.91</v>
      </c>
      <c r="E8" s="6">
        <f>D8*C8</f>
        <v>43.91</v>
      </c>
      <c r="F8" s="10"/>
      <c r="G8" s="13" t="s">
        <v>79</v>
      </c>
    </row>
    <row r="9" spans="1:7">
      <c r="A9" t="s">
        <v>53</v>
      </c>
      <c r="B9" t="s">
        <v>54</v>
      </c>
      <c r="C9">
        <v>4</v>
      </c>
      <c r="D9" s="6">
        <v>9.1199999999999992</v>
      </c>
      <c r="E9" s="6">
        <f>D9*C9</f>
        <v>36.479999999999997</v>
      </c>
      <c r="F9" s="9" t="s">
        <v>81</v>
      </c>
    </row>
    <row r="10" spans="1:7" ht="30">
      <c r="A10" s="8" t="s">
        <v>72</v>
      </c>
      <c r="B10" s="8" t="s">
        <v>73</v>
      </c>
      <c r="F10" s="10" t="s">
        <v>74</v>
      </c>
    </row>
    <row r="11" spans="1:7" ht="30">
      <c r="A11" s="8" t="s">
        <v>71</v>
      </c>
      <c r="B11" s="8" t="s">
        <v>70</v>
      </c>
      <c r="F11" s="10"/>
    </row>
    <row r="12" spans="1:7">
      <c r="D12" s="5" t="s">
        <v>50</v>
      </c>
      <c r="E12" s="6">
        <f>SUM(E2:E11)</f>
        <v>194.60519999999997</v>
      </c>
    </row>
    <row r="14" spans="1:7">
      <c r="A14" s="7" t="s">
        <v>59</v>
      </c>
      <c r="B14" s="7" t="s">
        <v>62</v>
      </c>
    </row>
    <row r="15" spans="1:7">
      <c r="A15" s="7" t="s">
        <v>60</v>
      </c>
      <c r="B15" s="7" t="s">
        <v>63</v>
      </c>
    </row>
    <row r="17" spans="1:2">
      <c r="A17" s="7" t="s">
        <v>61</v>
      </c>
      <c r="B17" s="7" t="s">
        <v>64</v>
      </c>
    </row>
  </sheetData>
  <autoFilter ref="A1:G1" xr:uid="{00000000-0001-0000-0000-000000000000}"/>
  <mergeCells count="6">
    <mergeCell ref="F4:F6"/>
    <mergeCell ref="F7:F8"/>
    <mergeCell ref="F10:F11"/>
    <mergeCell ref="G4:G6"/>
    <mergeCell ref="F2:F3"/>
    <mergeCell ref="G2:G3"/>
  </mergeCells>
  <hyperlinks>
    <hyperlink ref="G8" r:id="rId1" xr:uid="{3D913592-3BBF-49E5-A6A5-E13446141306}"/>
    <hyperlink ref="G7" r:id="rId2" xr:uid="{A337CD22-5308-43FD-8AEE-339494E5C4A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FB0F7-37CB-43D1-80C5-A4BA51C53663}">
  <dimension ref="A1:H9"/>
  <sheetViews>
    <sheetView topLeftCell="A2" workbookViewId="0">
      <selection activeCell="G3" sqref="G3"/>
    </sheetView>
  </sheetViews>
  <sheetFormatPr baseColWidth="10" defaultRowHeight="15"/>
  <sheetData>
    <row r="1" spans="1:8" ht="60.75" thickBot="1">
      <c r="A1" s="1" t="s">
        <v>0</v>
      </c>
      <c r="B1" s="1" t="s">
        <v>8</v>
      </c>
      <c r="C1" s="1" t="s">
        <v>9</v>
      </c>
      <c r="D1" s="2" t="s">
        <v>10</v>
      </c>
      <c r="F1" s="1" t="s">
        <v>34</v>
      </c>
      <c r="G1" s="1" t="s">
        <v>35</v>
      </c>
      <c r="H1" s="2" t="s">
        <v>36</v>
      </c>
    </row>
    <row r="2" spans="1:8" ht="59.25" thickBot="1">
      <c r="A2" s="1" t="s">
        <v>11</v>
      </c>
      <c r="B2" s="3">
        <v>2</v>
      </c>
      <c r="C2" s="3" t="s">
        <v>12</v>
      </c>
      <c r="D2" s="4" t="s">
        <v>13</v>
      </c>
      <c r="F2" s="1" t="s">
        <v>37</v>
      </c>
      <c r="G2" s="1" t="s">
        <v>38</v>
      </c>
      <c r="H2" s="4" t="s">
        <v>39</v>
      </c>
    </row>
    <row r="3" spans="1:8" ht="103.5" thickBot="1">
      <c r="A3" s="1" t="s">
        <v>14</v>
      </c>
      <c r="B3" s="3">
        <v>6</v>
      </c>
      <c r="C3" s="3" t="s">
        <v>15</v>
      </c>
      <c r="D3" s="4" t="s">
        <v>16</v>
      </c>
      <c r="F3" s="1" t="s">
        <v>40</v>
      </c>
      <c r="G3" s="1" t="s">
        <v>41</v>
      </c>
      <c r="H3" s="2" t="s">
        <v>42</v>
      </c>
    </row>
    <row r="4" spans="1:8" ht="72" thickBot="1">
      <c r="A4" s="1" t="s">
        <v>17</v>
      </c>
      <c r="B4" s="3">
        <v>3</v>
      </c>
      <c r="C4" s="3" t="s">
        <v>18</v>
      </c>
      <c r="D4" s="4" t="s">
        <v>19</v>
      </c>
      <c r="F4" s="1" t="s">
        <v>43</v>
      </c>
      <c r="G4" s="1" t="s">
        <v>44</v>
      </c>
      <c r="H4" s="4" t="s">
        <v>45</v>
      </c>
    </row>
    <row r="5" spans="1:8" ht="84.75" thickBot="1">
      <c r="A5" s="1" t="s">
        <v>20</v>
      </c>
      <c r="B5" s="3">
        <v>5</v>
      </c>
      <c r="C5" s="3" t="s">
        <v>21</v>
      </c>
      <c r="D5" s="4" t="s">
        <v>22</v>
      </c>
      <c r="F5" s="1" t="s">
        <v>46</v>
      </c>
      <c r="G5" s="1" t="s">
        <v>47</v>
      </c>
      <c r="H5" s="4" t="s">
        <v>48</v>
      </c>
    </row>
    <row r="6" spans="1:8" ht="30.75" thickBot="1">
      <c r="A6" s="1" t="s">
        <v>23</v>
      </c>
      <c r="B6" s="3">
        <v>13</v>
      </c>
      <c r="C6" s="3" t="s">
        <v>24</v>
      </c>
      <c r="D6" s="4" t="s">
        <v>25</v>
      </c>
    </row>
    <row r="7" spans="1:8" ht="30.75" thickBot="1">
      <c r="A7" s="1" t="s">
        <v>26</v>
      </c>
      <c r="B7" s="3">
        <v>15</v>
      </c>
      <c r="C7" s="3" t="s">
        <v>27</v>
      </c>
      <c r="D7" s="4" t="s">
        <v>25</v>
      </c>
    </row>
    <row r="8" spans="1:8" ht="30.75" thickBot="1">
      <c r="A8" s="1" t="s">
        <v>28</v>
      </c>
      <c r="B8" s="3">
        <v>16</v>
      </c>
      <c r="C8" s="3" t="s">
        <v>29</v>
      </c>
      <c r="D8" s="4" t="s">
        <v>30</v>
      </c>
    </row>
    <row r="9" spans="1:8" ht="57.75" thickBot="1">
      <c r="A9" s="1" t="s">
        <v>31</v>
      </c>
      <c r="B9" s="3">
        <v>11</v>
      </c>
      <c r="C9" s="3" t="s">
        <v>32</v>
      </c>
      <c r="D9" s="4" t="s">
        <v>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Planta Operador</dc:creator>
  <cp:lastModifiedBy>Tamara García</cp:lastModifiedBy>
  <dcterms:created xsi:type="dcterms:W3CDTF">2015-06-05T18:19:34Z</dcterms:created>
  <dcterms:modified xsi:type="dcterms:W3CDTF">2026-04-15T16:03:42Z</dcterms:modified>
</cp:coreProperties>
</file>